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銷售明細" sheetId="2" state="visible" r:id="rId2"/>
    <sheet xmlns:r="http://schemas.openxmlformats.org/officeDocument/2006/relationships" name="會報摘要_範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2F6FEB"/>
      <sz val="18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會報摘要範例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'會報摘要_範例'!$A$2:$A$3</f>
            </numRef>
          </cat>
          <val>
            <numRef>
              <f>'會報摘要_範例'!$B$2:$B$3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數值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8" customHeight="1">
      <c r="A1" s="1" t="inlineStr">
        <is>
          <t>Excel 會報練習</t>
        </is>
      </c>
    </row>
    <row r="2" ht="28" customHeight="1"/>
    <row r="3" ht="28" customHeight="1">
      <c r="A3" t="inlineStr">
        <is>
          <t>練習目標</t>
        </is>
      </c>
      <c r="B3" t="inlineStr">
        <is>
          <t>把銷售明細變成主管看得懂的會報摘要。</t>
        </is>
      </c>
    </row>
    <row r="4" ht="28" customHeight="1"/>
    <row r="5" ht="28" customHeight="1">
      <c r="A5" t="inlineStr">
        <is>
          <t>請貼給 Codex 的提示詞</t>
        </is>
      </c>
      <c r="B5" s="2" t="inlineStr">
        <is>
          <t>請幫我分析這份 Excel 銷售月報，但不要修改原始工作表。請另外建立或規劃一個「會報摘要」，包含本月總營收、總銷售數量、前 5 名商品、表現最好的通路、需要注意的異常、給主管看的 5 句白話摘要。</t>
        </is>
      </c>
    </row>
    <row r="6" ht="28" customHeight="1"/>
    <row r="7" ht="28" customHeight="1">
      <c r="A7" t="inlineStr">
        <is>
          <t>完成驗收標準</t>
        </is>
      </c>
      <c r="B7" t="inlineStr">
        <is>
          <t>1. 看到會報摘要</t>
        </is>
      </c>
    </row>
    <row r="8" ht="28" customHeight="1">
      <c r="B8" t="inlineStr">
        <is>
          <t>2. 能說出營收最高商品</t>
        </is>
      </c>
    </row>
    <row r="9" ht="28" customHeight="1">
      <c r="B9" t="inlineStr">
        <is>
          <t>3. 能看懂異常提醒</t>
        </is>
      </c>
    </row>
    <row r="10" ht="28" customHeight="1">
      <c r="B10" t="inlineStr">
        <is>
          <t>4. 能接著做 Word 或 PPT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 ht="26" customHeight="1">
      <c r="A1" s="3" t="inlineStr">
        <is>
          <t>日期</t>
        </is>
      </c>
      <c r="B1" s="3" t="inlineStr">
        <is>
          <t>商品名稱</t>
        </is>
      </c>
      <c r="C1" s="3" t="inlineStr">
        <is>
          <t>類別</t>
        </is>
      </c>
      <c r="D1" s="3" t="inlineStr">
        <is>
          <t>銷售數量</t>
        </is>
      </c>
      <c r="E1" s="3" t="inlineStr">
        <is>
          <t>單價</t>
        </is>
      </c>
      <c r="F1" s="3" t="inlineStr">
        <is>
          <t>營收</t>
        </is>
      </c>
      <c r="G1" s="3" t="inlineStr">
        <is>
          <t>成本</t>
        </is>
      </c>
      <c r="H1" s="3" t="inlineStr">
        <is>
          <t>毛利</t>
        </is>
      </c>
      <c r="I1" s="3" t="inlineStr">
        <is>
          <t>毛利率</t>
        </is>
      </c>
      <c r="J1" s="3" t="inlineStr">
        <is>
          <t>銷售通路</t>
        </is>
      </c>
      <c r="K1" s="3" t="inlineStr">
        <is>
          <t>負責人</t>
        </is>
      </c>
      <c r="L1" s="3" t="inlineStr">
        <is>
          <t>備註</t>
        </is>
      </c>
    </row>
    <row r="2" ht="26" customHeight="1">
      <c r="A2" s="4" t="n">
        <v>46164</v>
      </c>
      <c r="B2" s="5" t="inlineStr">
        <is>
          <t>旅行分裝瓶組</t>
        </is>
      </c>
      <c r="C2" s="5" t="inlineStr">
        <is>
          <t>旅遊</t>
        </is>
      </c>
      <c r="D2" s="5" t="n">
        <v>22</v>
      </c>
      <c r="E2" s="6" t="n">
        <v>350</v>
      </c>
      <c r="F2" s="6" t="n">
        <v>7700</v>
      </c>
      <c r="G2" s="6" t="n">
        <v>3520</v>
      </c>
      <c r="H2" s="6" t="n">
        <v>4180</v>
      </c>
      <c r="I2" s="7" t="n">
        <v>0.5429</v>
      </c>
      <c r="J2" s="5" t="inlineStr">
        <is>
          <t>實體活動</t>
        </is>
      </c>
      <c r="K2" s="5" t="inlineStr">
        <is>
          <t>林雅婷</t>
        </is>
      </c>
      <c r="L2" s="5" t="inlineStr"/>
    </row>
    <row r="3" ht="26" customHeight="1">
      <c r="A3" s="4" t="n">
        <v>46146</v>
      </c>
      <c r="B3" s="5" t="inlineStr">
        <is>
          <t>質感木紋收納盒</t>
        </is>
      </c>
      <c r="C3" s="5" t="inlineStr">
        <is>
          <t>居家</t>
        </is>
      </c>
      <c r="D3" s="5" t="n">
        <v>27</v>
      </c>
      <c r="E3" s="6" t="n">
        <v>680</v>
      </c>
      <c r="F3" s="6" t="n">
        <v>18360</v>
      </c>
      <c r="G3" s="6" t="n">
        <v>9720</v>
      </c>
      <c r="H3" s="6" t="n">
        <v>8640</v>
      </c>
      <c r="I3" s="7" t="n">
        <v>0.4706</v>
      </c>
      <c r="J3" s="5" t="inlineStr">
        <is>
          <t>蝦皮</t>
        </is>
      </c>
      <c r="K3" s="5" t="inlineStr">
        <is>
          <t>王美玲</t>
        </is>
      </c>
      <c r="L3" s="5" t="inlineStr"/>
    </row>
    <row r="4" ht="26" customHeight="1">
      <c r="A4" s="4" t="n">
        <v>46153</v>
      </c>
      <c r="B4" s="5" t="inlineStr">
        <is>
          <t>香氛蠟燭禮盒</t>
        </is>
      </c>
      <c r="C4" s="5" t="inlineStr">
        <is>
          <t>生活</t>
        </is>
      </c>
      <c r="D4" s="5" t="n">
        <v>2</v>
      </c>
      <c r="E4" s="6" t="n">
        <v>980</v>
      </c>
      <c r="F4" s="6" t="n">
        <v>1960</v>
      </c>
      <c r="G4" s="6" t="n">
        <v>1040</v>
      </c>
      <c r="H4" s="6" t="n">
        <v>920</v>
      </c>
      <c r="I4" s="7" t="n">
        <v>0.4694</v>
      </c>
      <c r="J4" s="5" t="inlineStr">
        <is>
          <t>LINE社群</t>
        </is>
      </c>
      <c r="K4" s="5" t="inlineStr">
        <is>
          <t>王美玲</t>
        </is>
      </c>
      <c r="L4" s="5" t="inlineStr"/>
    </row>
    <row r="5" ht="26" customHeight="1">
      <c r="A5" s="4" t="n">
        <v>46148</v>
      </c>
      <c r="B5" s="5" t="inlineStr">
        <is>
          <t>輕量托特包</t>
        </is>
      </c>
      <c r="C5" s="5" t="inlineStr">
        <is>
          <t>服飾</t>
        </is>
      </c>
      <c r="D5" s="5" t="n">
        <v>6</v>
      </c>
      <c r="E5" s="6" t="n">
        <v>1280</v>
      </c>
      <c r="F5" s="6" t="n">
        <v>7680</v>
      </c>
      <c r="G5" s="6" t="n">
        <v>4680</v>
      </c>
      <c r="H5" s="6" t="n">
        <v>3000</v>
      </c>
      <c r="I5" s="7" t="n">
        <v>0.3906</v>
      </c>
      <c r="J5" s="5" t="inlineStr">
        <is>
          <t>官網</t>
        </is>
      </c>
      <c r="K5" s="5" t="inlineStr">
        <is>
          <t>陳志明</t>
        </is>
      </c>
      <c r="L5" s="5" t="inlineStr"/>
    </row>
    <row r="6" ht="26" customHeight="1">
      <c r="A6" s="4" t="n">
        <v>46162</v>
      </c>
      <c r="B6" s="5" t="inlineStr">
        <is>
          <t>手機支架</t>
        </is>
      </c>
      <c r="C6" s="5" t="inlineStr">
        <is>
          <t>3C</t>
        </is>
      </c>
      <c r="D6" s="5" t="n">
        <v>22</v>
      </c>
      <c r="E6" s="6" t="n">
        <v>390</v>
      </c>
      <c r="F6" s="6" t="n">
        <v>8580</v>
      </c>
      <c r="G6" s="6" t="n">
        <v>4180</v>
      </c>
      <c r="H6" s="6" t="n">
        <v>4400</v>
      </c>
      <c r="I6" s="7" t="n">
        <v>0.5128</v>
      </c>
      <c r="J6" s="5" t="inlineStr">
        <is>
          <t>實體活動</t>
        </is>
      </c>
      <c r="K6" s="5" t="inlineStr">
        <is>
          <t>陳志明</t>
        </is>
      </c>
      <c r="L6" s="5" t="inlineStr"/>
    </row>
    <row r="7" ht="26" customHeight="1">
      <c r="A7" s="4" t="n">
        <v>46145</v>
      </c>
      <c r="B7" s="5" t="inlineStr">
        <is>
          <t>質感木紋收納盒</t>
        </is>
      </c>
      <c r="C7" s="5" t="inlineStr">
        <is>
          <t>居家</t>
        </is>
      </c>
      <c r="D7" s="5" t="n">
        <v>16</v>
      </c>
      <c r="E7" s="6" t="n">
        <v>680</v>
      </c>
      <c r="F7" s="6" t="n">
        <v>10880</v>
      </c>
      <c r="G7" s="6" t="n">
        <v>5760</v>
      </c>
      <c r="H7" s="6" t="n">
        <v>5120</v>
      </c>
      <c r="I7" s="7" t="n">
        <v>0.4706</v>
      </c>
      <c r="J7" s="5" t="inlineStr">
        <is>
          <t>官網</t>
        </is>
      </c>
      <c r="K7" s="5" t="inlineStr">
        <is>
          <t>林雅婷</t>
        </is>
      </c>
      <c r="L7" s="5" t="inlineStr"/>
    </row>
    <row r="8" ht="26" customHeight="1">
      <c r="A8" s="4" t="n">
        <v>46152</v>
      </c>
      <c r="B8" s="5" t="inlineStr">
        <is>
          <t>輕量托特包</t>
        </is>
      </c>
      <c r="C8" s="5" t="inlineStr">
        <is>
          <t>服飾</t>
        </is>
      </c>
      <c r="D8" s="5" t="n">
        <v>11</v>
      </c>
      <c r="E8" s="6" t="n">
        <v>1280</v>
      </c>
      <c r="F8" s="6" t="n">
        <v>14080</v>
      </c>
      <c r="G8" s="6" t="n">
        <v>8580</v>
      </c>
      <c r="H8" s="6" t="n">
        <v>5500</v>
      </c>
      <c r="I8" s="7" t="n">
        <v>0.3906</v>
      </c>
      <c r="J8" s="5" t="inlineStr">
        <is>
          <t>官網</t>
        </is>
      </c>
      <c r="K8" s="5" t="inlineStr">
        <is>
          <t>陳志明</t>
        </is>
      </c>
      <c r="L8" s="5" t="inlineStr"/>
    </row>
    <row r="9" ht="26" customHeight="1">
      <c r="A9" s="4" t="n">
        <v>46173</v>
      </c>
      <c r="B9" s="5" t="inlineStr">
        <is>
          <t>香氛蠟燭禮盒</t>
        </is>
      </c>
      <c r="C9" s="5" t="inlineStr">
        <is>
          <t>生活</t>
        </is>
      </c>
      <c r="D9" s="5" t="n">
        <v>10</v>
      </c>
      <c r="E9" s="6" t="n">
        <v>980</v>
      </c>
      <c r="F9" s="6" t="n">
        <v>9800</v>
      </c>
      <c r="G9" s="6" t="n">
        <v>5200</v>
      </c>
      <c r="H9" s="6" t="n">
        <v>4600</v>
      </c>
      <c r="I9" s="7" t="n">
        <v>0.4694</v>
      </c>
      <c r="J9" s="5" t="inlineStr">
        <is>
          <t>蝦皮</t>
        </is>
      </c>
      <c r="K9" s="5" t="inlineStr">
        <is>
          <t>陳志明</t>
        </is>
      </c>
      <c r="L9" s="5" t="inlineStr"/>
    </row>
    <row r="10" ht="26" customHeight="1">
      <c r="A10" s="4" t="n">
        <v>46157</v>
      </c>
      <c r="B10" s="5" t="inlineStr">
        <is>
          <t>香氛蠟燭禮盒</t>
        </is>
      </c>
      <c r="C10" s="5" t="inlineStr">
        <is>
          <t>生活</t>
        </is>
      </c>
      <c r="D10" s="5" t="n">
        <v>3</v>
      </c>
      <c r="E10" s="6" t="n">
        <v>980</v>
      </c>
      <c r="F10" s="6" t="n">
        <v>2940</v>
      </c>
      <c r="G10" s="6" t="n">
        <v>1560</v>
      </c>
      <c r="H10" s="6" t="n">
        <v>1380</v>
      </c>
      <c r="I10" s="7" t="n">
        <v>0.4694</v>
      </c>
      <c r="J10" s="5" t="inlineStr">
        <is>
          <t>官網</t>
        </is>
      </c>
      <c r="K10" s="5" t="inlineStr">
        <is>
          <t>王美玲</t>
        </is>
      </c>
      <c r="L10" s="5" t="inlineStr"/>
    </row>
    <row r="11" ht="26" customHeight="1">
      <c r="A11" s="4" t="n">
        <v>46169</v>
      </c>
      <c r="B11" s="5" t="inlineStr">
        <is>
          <t>輕量托特包</t>
        </is>
      </c>
      <c r="C11" s="5" t="inlineStr">
        <is>
          <t>服飾</t>
        </is>
      </c>
      <c r="D11" s="5" t="n">
        <v>2</v>
      </c>
      <c r="E11" s="6" t="n">
        <v>1280</v>
      </c>
      <c r="F11" s="6" t="n">
        <v>2560</v>
      </c>
      <c r="G11" s="6" t="n">
        <v>1560</v>
      </c>
      <c r="H11" s="6" t="n">
        <v>1000</v>
      </c>
      <c r="I11" s="7" t="n">
        <v>0.3906</v>
      </c>
      <c r="J11" s="5" t="inlineStr">
        <is>
          <t>蝦皮</t>
        </is>
      </c>
      <c r="K11" s="5" t="inlineStr">
        <is>
          <t>陳志明</t>
        </is>
      </c>
      <c r="L11" s="5" t="inlineStr"/>
    </row>
    <row r="12" ht="26" customHeight="1">
      <c r="A12" s="4" t="n">
        <v>46147</v>
      </c>
      <c r="B12" s="5" t="inlineStr">
        <is>
          <t>輕量托特包</t>
        </is>
      </c>
      <c r="C12" s="5" t="inlineStr">
        <is>
          <t>服飾</t>
        </is>
      </c>
      <c r="D12" s="5" t="n">
        <v>28</v>
      </c>
      <c r="E12" s="6" t="n">
        <v>1280</v>
      </c>
      <c r="F12" s="6" t="n">
        <v>35840</v>
      </c>
      <c r="G12" s="6" t="n">
        <v>21840</v>
      </c>
      <c r="H12" s="6" t="n">
        <v>14000</v>
      </c>
      <c r="I12" s="7" t="n">
        <v>0.3906</v>
      </c>
      <c r="J12" s="5" t="inlineStr">
        <is>
          <t>官網</t>
        </is>
      </c>
      <c r="K12" s="5" t="inlineStr">
        <is>
          <t>黃國華</t>
        </is>
      </c>
      <c r="L12" s="5" t="inlineStr"/>
    </row>
    <row r="13" ht="26" customHeight="1">
      <c r="A13" s="4" t="n">
        <v>46149</v>
      </c>
      <c r="B13" s="5" t="inlineStr">
        <is>
          <t>旅行分裝瓶組</t>
        </is>
      </c>
      <c r="C13" s="5" t="inlineStr">
        <is>
          <t>旅遊</t>
        </is>
      </c>
      <c r="D13" s="5" t="n">
        <v>21</v>
      </c>
      <c r="E13" s="6" t="n">
        <v>350</v>
      </c>
      <c r="F13" s="6" t="n">
        <v>7350</v>
      </c>
      <c r="G13" s="6" t="n">
        <v>3360</v>
      </c>
      <c r="H13" s="6" t="n">
        <v>3990</v>
      </c>
      <c r="I13" s="7" t="n">
        <v>0.5429</v>
      </c>
      <c r="J13" s="5" t="inlineStr">
        <is>
          <t>官網</t>
        </is>
      </c>
      <c r="K13" s="5" t="inlineStr">
        <is>
          <t>陳志明</t>
        </is>
      </c>
      <c r="L13" s="5" t="inlineStr"/>
    </row>
    <row r="14" ht="26" customHeight="1">
      <c r="A14" s="4" t="n">
        <v>46169</v>
      </c>
      <c r="B14" s="5" t="inlineStr">
        <is>
          <t>輕量托特包</t>
        </is>
      </c>
      <c r="C14" s="5" t="inlineStr">
        <is>
          <t>服飾</t>
        </is>
      </c>
      <c r="D14" s="5" t="n">
        <v>18</v>
      </c>
      <c r="E14" s="6" t="n">
        <v>1280</v>
      </c>
      <c r="F14" s="6" t="n">
        <v>23040</v>
      </c>
      <c r="G14" s="6" t="n">
        <v>14040</v>
      </c>
      <c r="H14" s="6" t="n">
        <v>9000</v>
      </c>
      <c r="I14" s="7" t="n">
        <v>0.3906</v>
      </c>
      <c r="J14" s="5" t="inlineStr">
        <is>
          <t>蝦皮</t>
        </is>
      </c>
      <c r="K14" s="5" t="inlineStr">
        <is>
          <t>林雅婷</t>
        </is>
      </c>
      <c r="L14" s="5" t="inlineStr"/>
    </row>
    <row r="15" ht="26" customHeight="1">
      <c r="A15" s="4" t="n">
        <v>46170</v>
      </c>
      <c r="B15" s="5" t="inlineStr">
        <is>
          <t>輕量托特包</t>
        </is>
      </c>
      <c r="C15" s="5" t="inlineStr">
        <is>
          <t>服飾</t>
        </is>
      </c>
      <c r="D15" s="5" t="n">
        <v>7</v>
      </c>
      <c r="E15" s="6" t="n">
        <v>1280</v>
      </c>
      <c r="F15" s="6" t="n">
        <v>8960</v>
      </c>
      <c r="G15" s="6" t="n">
        <v>5460</v>
      </c>
      <c r="H15" s="6" t="n">
        <v>3500</v>
      </c>
      <c r="I15" s="7" t="n">
        <v>0.3906</v>
      </c>
      <c r="J15" s="5" t="inlineStr">
        <is>
          <t>LINE社群</t>
        </is>
      </c>
      <c r="K15" s="5" t="inlineStr">
        <is>
          <t>黃國華</t>
        </is>
      </c>
      <c r="L15" s="5" t="inlineStr"/>
    </row>
    <row r="16" ht="26" customHeight="1">
      <c r="A16" s="4" t="n">
        <v>46155</v>
      </c>
      <c r="B16" s="5" t="inlineStr">
        <is>
          <t>旅行分裝瓶組</t>
        </is>
      </c>
      <c r="C16" s="5" t="inlineStr">
        <is>
          <t>旅遊</t>
        </is>
      </c>
      <c r="D16" s="5" t="n">
        <v>3</v>
      </c>
      <c r="E16" s="6" t="n">
        <v>350</v>
      </c>
      <c r="F16" s="6" t="n">
        <v>1050</v>
      </c>
      <c r="G16" s="6" t="n">
        <v>480</v>
      </c>
      <c r="H16" s="6" t="n">
        <v>570</v>
      </c>
      <c r="I16" s="7" t="n">
        <v>0.5429</v>
      </c>
      <c r="J16" s="5" t="inlineStr">
        <is>
          <t>蝦皮</t>
        </is>
      </c>
      <c r="K16" s="5" t="inlineStr">
        <is>
          <t>陳志明</t>
        </is>
      </c>
      <c r="L16" s="5" t="inlineStr"/>
    </row>
    <row r="17" ht="26" customHeight="1">
      <c r="A17" s="4" t="n">
        <v>46168</v>
      </c>
      <c r="B17" s="5" t="inlineStr">
        <is>
          <t>手機支架</t>
        </is>
      </c>
      <c r="C17" s="5" t="inlineStr">
        <is>
          <t>3C</t>
        </is>
      </c>
      <c r="D17" s="5" t="n">
        <v>24</v>
      </c>
      <c r="E17" s="6" t="n">
        <v>390</v>
      </c>
      <c r="F17" s="6" t="n">
        <v>9360</v>
      </c>
      <c r="G17" s="6" t="n">
        <v>8880</v>
      </c>
      <c r="H17" s="6" t="n">
        <v>480</v>
      </c>
      <c r="I17" s="7" t="n">
        <v>0.0513</v>
      </c>
      <c r="J17" s="5" t="inlineStr">
        <is>
          <t>官網</t>
        </is>
      </c>
      <c r="K17" s="5" t="inlineStr">
        <is>
          <t>陳志明</t>
        </is>
      </c>
      <c r="L17" s="5" t="inlineStr">
        <is>
          <t>毛利率偏低</t>
        </is>
      </c>
    </row>
    <row r="18" ht="26" customHeight="1">
      <c r="A18" s="4" t="n">
        <v>46147</v>
      </c>
      <c r="B18" s="5" t="inlineStr">
        <is>
          <t>輕量托特包</t>
        </is>
      </c>
      <c r="C18" s="5" t="inlineStr">
        <is>
          <t>服飾</t>
        </is>
      </c>
      <c r="D18" s="5" t="n">
        <v>17</v>
      </c>
      <c r="E18" s="6" t="n">
        <v>1280</v>
      </c>
      <c r="F18" s="6" t="n">
        <v>21760</v>
      </c>
      <c r="G18" s="6" t="n">
        <v>13260</v>
      </c>
      <c r="H18" s="6" t="n">
        <v>8500</v>
      </c>
      <c r="I18" s="7" t="n">
        <v>0.3906</v>
      </c>
      <c r="J18" s="5" t="inlineStr">
        <is>
          <t>LINE社群</t>
        </is>
      </c>
      <c r="K18" s="5" t="inlineStr">
        <is>
          <t>黃國華</t>
        </is>
      </c>
      <c r="L18" s="5" t="inlineStr"/>
    </row>
    <row r="19" ht="26" customHeight="1">
      <c r="A19" s="4" t="n">
        <v>46164</v>
      </c>
      <c r="B19" s="5" t="inlineStr">
        <is>
          <t>隨身保溫杯</t>
        </is>
      </c>
      <c r="C19" s="5" t="inlineStr">
        <is>
          <t>生活</t>
        </is>
      </c>
      <c r="D19" s="5" t="n">
        <v>27</v>
      </c>
      <c r="E19" s="6" t="n">
        <v>790</v>
      </c>
      <c r="F19" s="6" t="n">
        <v>21330</v>
      </c>
      <c r="G19" s="6" t="n">
        <v>11610</v>
      </c>
      <c r="H19" s="6" t="n">
        <v>9720</v>
      </c>
      <c r="I19" s="7" t="n">
        <v>0.4557</v>
      </c>
      <c r="J19" s="5" t="inlineStr">
        <is>
          <t>官網</t>
        </is>
      </c>
      <c r="K19" s="5" t="inlineStr">
        <is>
          <t>黃國華</t>
        </is>
      </c>
      <c r="L19" s="5" t="inlineStr"/>
    </row>
    <row r="20" ht="26" customHeight="1">
      <c r="A20" s="4" t="n">
        <v>46149</v>
      </c>
      <c r="B20" s="5" t="inlineStr">
        <is>
          <t>旅行分裝瓶組</t>
        </is>
      </c>
      <c r="C20" s="5" t="inlineStr">
        <is>
          <t>旅遊</t>
        </is>
      </c>
      <c r="D20" s="5" t="n">
        <v>20</v>
      </c>
      <c r="E20" s="6" t="n">
        <v>350</v>
      </c>
      <c r="F20" s="6" t="n">
        <v>7000</v>
      </c>
      <c r="G20" s="6" t="n">
        <v>3200</v>
      </c>
      <c r="H20" s="6" t="n">
        <v>3800</v>
      </c>
      <c r="I20" s="7" t="n">
        <v>0.5429</v>
      </c>
      <c r="J20" s="5" t="inlineStr">
        <is>
          <t>蝦皮</t>
        </is>
      </c>
      <c r="K20" s="5" t="inlineStr">
        <is>
          <t>陳志明</t>
        </is>
      </c>
      <c r="L20" s="5" t="inlineStr"/>
    </row>
    <row r="21" ht="26" customHeight="1">
      <c r="A21" s="4" t="n">
        <v>46165</v>
      </c>
      <c r="B21" s="5" t="inlineStr">
        <is>
          <t>手機支架</t>
        </is>
      </c>
      <c r="C21" s="5" t="inlineStr">
        <is>
          <t>3C</t>
        </is>
      </c>
      <c r="D21" s="5" t="n">
        <v>3</v>
      </c>
      <c r="E21" s="6" t="n">
        <v>390</v>
      </c>
      <c r="F21" s="6" t="n">
        <v>1170</v>
      </c>
      <c r="G21" s="6" t="n">
        <v>570</v>
      </c>
      <c r="H21" s="6" t="n">
        <v>600</v>
      </c>
      <c r="I21" s="7" t="n">
        <v>0.5128</v>
      </c>
      <c r="J21" s="5" t="inlineStr">
        <is>
          <t>實體活動</t>
        </is>
      </c>
      <c r="K21" s="5" t="inlineStr">
        <is>
          <t>林雅婷</t>
        </is>
      </c>
      <c r="L21" s="5" t="inlineStr"/>
    </row>
    <row r="22" ht="26" customHeight="1">
      <c r="A22" s="4" t="n">
        <v>46163</v>
      </c>
      <c r="B22" s="5" t="inlineStr">
        <is>
          <t>質感木紋收納盒</t>
        </is>
      </c>
      <c r="C22" s="5" t="inlineStr">
        <is>
          <t>居家</t>
        </is>
      </c>
      <c r="D22" s="5" t="n">
        <v>19</v>
      </c>
      <c r="E22" s="6" t="n">
        <v>680</v>
      </c>
      <c r="F22" s="6" t="n">
        <v>12920</v>
      </c>
      <c r="G22" s="6" t="n">
        <v>6840</v>
      </c>
      <c r="H22" s="6" t="n">
        <v>6080</v>
      </c>
      <c r="I22" s="7" t="n">
        <v>0.4706</v>
      </c>
      <c r="J22" s="5" t="inlineStr">
        <is>
          <t>蝦皮</t>
        </is>
      </c>
      <c r="K22" s="5" t="inlineStr">
        <is>
          <t>陳志明</t>
        </is>
      </c>
      <c r="L22" s="5" t="inlineStr"/>
    </row>
    <row r="23" ht="26" customHeight="1">
      <c r="A23" s="4" t="n">
        <v>46146</v>
      </c>
      <c r="B23" s="5" t="inlineStr">
        <is>
          <t>隨身保溫杯</t>
        </is>
      </c>
      <c r="C23" s="5" t="inlineStr">
        <is>
          <t>生活</t>
        </is>
      </c>
      <c r="D23" s="5" t="n">
        <v>26</v>
      </c>
      <c r="E23" s="6" t="n">
        <v>790</v>
      </c>
      <c r="F23" s="6" t="n">
        <v>20540</v>
      </c>
      <c r="G23" s="6" t="n">
        <v>11180</v>
      </c>
      <c r="H23" s="6" t="n">
        <v>9360</v>
      </c>
      <c r="I23" s="7" t="n">
        <v>0.4557</v>
      </c>
      <c r="J23" s="5" t="inlineStr">
        <is>
          <t>蝦皮</t>
        </is>
      </c>
      <c r="K23" s="5" t="inlineStr">
        <is>
          <t>陳志明</t>
        </is>
      </c>
      <c r="L23" s="5" t="inlineStr"/>
    </row>
    <row r="24" ht="26" customHeight="1">
      <c r="A24" s="4" t="n">
        <v>46149</v>
      </c>
      <c r="B24" s="5" t="inlineStr">
        <is>
          <t>輕量托特包</t>
        </is>
      </c>
      <c r="C24" s="5" t="inlineStr">
        <is>
          <t>服飾</t>
        </is>
      </c>
      <c r="D24" s="5" t="n">
        <v>10</v>
      </c>
      <c r="E24" s="6" t="n">
        <v>1280</v>
      </c>
      <c r="F24" s="6" t="n">
        <v>12800</v>
      </c>
      <c r="G24" s="6" t="n">
        <v>7800</v>
      </c>
      <c r="H24" s="6" t="n">
        <v>5000</v>
      </c>
      <c r="I24" s="7" t="n">
        <v>0.3906</v>
      </c>
      <c r="J24" s="5" t="inlineStr">
        <is>
          <t>實體活動</t>
        </is>
      </c>
      <c r="K24" s="5" t="inlineStr">
        <is>
          <t>王美玲</t>
        </is>
      </c>
      <c r="L24" s="5" t="inlineStr"/>
    </row>
    <row r="25" ht="26" customHeight="1">
      <c r="A25" s="4" t="n">
        <v>46168</v>
      </c>
      <c r="B25" s="5" t="inlineStr">
        <is>
          <t>輕量托特包</t>
        </is>
      </c>
      <c r="C25" s="5" t="inlineStr">
        <is>
          <t>服飾</t>
        </is>
      </c>
      <c r="D25" s="5" t="n">
        <v>11</v>
      </c>
      <c r="E25" s="6" t="n">
        <v>1280</v>
      </c>
      <c r="F25" s="6" t="n">
        <v>14080</v>
      </c>
      <c r="G25" s="6" t="n">
        <v>8580</v>
      </c>
      <c r="H25" s="6" t="n">
        <v>5500</v>
      </c>
      <c r="I25" s="7" t="n">
        <v>0.3906</v>
      </c>
      <c r="J25" s="5" t="inlineStr">
        <is>
          <t>官網</t>
        </is>
      </c>
      <c r="K25" s="5" t="inlineStr">
        <is>
          <t>陳志明</t>
        </is>
      </c>
      <c r="L25" s="5" t="inlineStr"/>
    </row>
    <row r="26" ht="26" customHeight="1">
      <c r="A26" s="4" t="n">
        <v>46155</v>
      </c>
      <c r="B26" s="5" t="inlineStr">
        <is>
          <t>香氛蠟燭禮盒</t>
        </is>
      </c>
      <c r="C26" s="5" t="inlineStr">
        <is>
          <t>生活</t>
        </is>
      </c>
      <c r="D26" s="5" t="n">
        <v>15</v>
      </c>
      <c r="E26" s="6" t="n">
        <v>980</v>
      </c>
      <c r="F26" s="6" t="n">
        <v>14700</v>
      </c>
      <c r="G26" s="6" t="n">
        <v>7800</v>
      </c>
      <c r="H26" s="6" t="n">
        <v>6900</v>
      </c>
      <c r="I26" s="7" t="n">
        <v>0.4694</v>
      </c>
      <c r="J26" s="5" t="inlineStr">
        <is>
          <t>LINE社群</t>
        </is>
      </c>
      <c r="K26" s="5" t="inlineStr">
        <is>
          <t>林雅婷</t>
        </is>
      </c>
      <c r="L26" s="5" t="inlineStr"/>
    </row>
    <row r="27" ht="26" customHeight="1">
      <c r="A27" s="4" t="n">
        <v>46158</v>
      </c>
      <c r="B27" s="5" t="inlineStr">
        <is>
          <t>旅行分裝瓶組</t>
        </is>
      </c>
      <c r="C27" s="5" t="inlineStr">
        <is>
          <t>旅遊</t>
        </is>
      </c>
      <c r="D27" s="5" t="n">
        <v>7</v>
      </c>
      <c r="E27" s="6" t="n">
        <v>350</v>
      </c>
      <c r="F27" s="6" t="n">
        <v>2450</v>
      </c>
      <c r="G27" s="6" t="n">
        <v>1120</v>
      </c>
      <c r="H27" s="6" t="n">
        <v>1330</v>
      </c>
      <c r="I27" s="7" t="n">
        <v>0.5429</v>
      </c>
      <c r="J27" s="5" t="inlineStr">
        <is>
          <t>官網</t>
        </is>
      </c>
      <c r="K27" s="5" t="inlineStr">
        <is>
          <t>林雅婷</t>
        </is>
      </c>
      <c r="L27" s="5" t="inlineStr"/>
    </row>
    <row r="28" ht="26" customHeight="1">
      <c r="A28" s="4" t="n">
        <v>46164</v>
      </c>
      <c r="B28" s="5" t="inlineStr">
        <is>
          <t>輕量托特包</t>
        </is>
      </c>
      <c r="C28" s="5" t="inlineStr">
        <is>
          <t>服飾</t>
        </is>
      </c>
      <c r="D28" s="5" t="n">
        <v>18</v>
      </c>
      <c r="E28" s="6" t="n">
        <v>1280</v>
      </c>
      <c r="F28" s="6" t="n">
        <v>23040</v>
      </c>
      <c r="G28" s="6" t="n">
        <v>14040</v>
      </c>
      <c r="H28" s="6" t="n">
        <v>9000</v>
      </c>
      <c r="I28" s="7" t="n">
        <v>0.3906</v>
      </c>
      <c r="J28" s="5" t="inlineStr">
        <is>
          <t>LINE社群</t>
        </is>
      </c>
      <c r="K28" s="5" t="inlineStr">
        <is>
          <t>林雅婷</t>
        </is>
      </c>
      <c r="L28" s="5" t="inlineStr"/>
    </row>
    <row r="29" ht="26" customHeight="1">
      <c r="A29" s="4" t="n">
        <v>46150</v>
      </c>
      <c r="B29" s="5" t="inlineStr">
        <is>
          <t>隨身保溫杯</t>
        </is>
      </c>
      <c r="C29" s="5" t="inlineStr">
        <is>
          <t>生活</t>
        </is>
      </c>
      <c r="D29" s="5" t="n">
        <v>26</v>
      </c>
      <c r="E29" s="6" t="n">
        <v>790</v>
      </c>
      <c r="F29" s="6" t="n">
        <v>20540</v>
      </c>
      <c r="G29" s="6" t="n">
        <v>11180</v>
      </c>
      <c r="H29" s="6" t="n">
        <v>9360</v>
      </c>
      <c r="I29" s="7" t="n">
        <v>0.4557</v>
      </c>
      <c r="J29" s="5" t="inlineStr">
        <is>
          <t>LINE社群</t>
        </is>
      </c>
      <c r="K29" s="5" t="inlineStr">
        <is>
          <t>林雅婷</t>
        </is>
      </c>
      <c r="L29" s="5" t="inlineStr"/>
    </row>
    <row r="30" ht="26" customHeight="1">
      <c r="A30" s="4" t="n">
        <v>46158</v>
      </c>
      <c r="B30" s="5" t="inlineStr">
        <is>
          <t>香氛蠟燭禮盒</t>
        </is>
      </c>
      <c r="C30" s="5" t="inlineStr">
        <is>
          <t>生活</t>
        </is>
      </c>
      <c r="D30" s="5" t="n">
        <v>7</v>
      </c>
      <c r="E30" s="6" t="n">
        <v>980</v>
      </c>
      <c r="F30" s="6" t="n">
        <v>6860</v>
      </c>
      <c r="G30" s="6" t="n">
        <v>3640</v>
      </c>
      <c r="H30" s="6" t="n">
        <v>3220</v>
      </c>
      <c r="I30" s="7" t="n">
        <v>0.4694</v>
      </c>
      <c r="J30" s="5" t="inlineStr">
        <is>
          <t>LINE社群</t>
        </is>
      </c>
      <c r="K30" s="5" t="inlineStr">
        <is>
          <t>陳志明</t>
        </is>
      </c>
      <c r="L30" s="5" t="inlineStr"/>
    </row>
    <row r="31" ht="26" customHeight="1">
      <c r="A31" s="4" t="n">
        <v>46147</v>
      </c>
      <c r="B31" s="5" t="inlineStr">
        <is>
          <t>香氛蠟燭禮盒</t>
        </is>
      </c>
      <c r="C31" s="5" t="inlineStr">
        <is>
          <t>生活</t>
        </is>
      </c>
      <c r="D31" s="5" t="n">
        <v>7</v>
      </c>
      <c r="E31" s="6" t="n">
        <v>980</v>
      </c>
      <c r="F31" s="6" t="n">
        <v>6860</v>
      </c>
      <c r="G31" s="6" t="n">
        <v>3640</v>
      </c>
      <c r="H31" s="6" t="n">
        <v>3220</v>
      </c>
      <c r="I31" s="7" t="n">
        <v>0.4694</v>
      </c>
      <c r="J31" s="5" t="inlineStr">
        <is>
          <t>實體活動</t>
        </is>
      </c>
      <c r="K31" s="5" t="inlineStr">
        <is>
          <t>林雅婷</t>
        </is>
      </c>
      <c r="L31" s="5" t="inlineStr"/>
    </row>
    <row r="32" ht="26" customHeight="1">
      <c r="A32" s="4" t="n">
        <v>46153</v>
      </c>
      <c r="B32" s="5" t="inlineStr">
        <is>
          <t>隨身保溫杯</t>
        </is>
      </c>
      <c r="C32" s="5" t="inlineStr">
        <is>
          <t>生活</t>
        </is>
      </c>
      <c r="D32" s="5" t="n">
        <v>13</v>
      </c>
      <c r="E32" s="6" t="n">
        <v>790</v>
      </c>
      <c r="F32" s="6" t="n">
        <v>10270</v>
      </c>
      <c r="G32" s="6" t="n">
        <v>5590</v>
      </c>
      <c r="H32" s="6" t="n">
        <v>4680</v>
      </c>
      <c r="I32" s="7" t="n">
        <v>0.4557</v>
      </c>
      <c r="J32" s="5" t="inlineStr">
        <is>
          <t>LINE社群</t>
        </is>
      </c>
      <c r="K32" s="5" t="inlineStr">
        <is>
          <t>王美玲</t>
        </is>
      </c>
      <c r="L32" s="5" t="inlineStr"/>
    </row>
    <row r="33" ht="26" customHeight="1">
      <c r="A33" s="4" t="n">
        <v>46149</v>
      </c>
      <c r="B33" s="5" t="inlineStr">
        <is>
          <t>旅行分裝瓶組</t>
        </is>
      </c>
      <c r="C33" s="5" t="inlineStr">
        <is>
          <t>旅遊</t>
        </is>
      </c>
      <c r="D33" s="5" t="n">
        <v>18</v>
      </c>
      <c r="E33" s="6" t="n">
        <v>350</v>
      </c>
      <c r="F33" s="6" t="n">
        <v>6300</v>
      </c>
      <c r="G33" s="6" t="inlineStr"/>
      <c r="H33" s="6" t="inlineStr"/>
      <c r="I33" s="7" t="inlineStr"/>
      <c r="J33" s="5" t="inlineStr">
        <is>
          <t>蝦皮</t>
        </is>
      </c>
      <c r="K33" s="5" t="inlineStr">
        <is>
          <t>黃國華</t>
        </is>
      </c>
      <c r="L33" s="5" t="inlineStr">
        <is>
          <t>成本空白，請人工確認</t>
        </is>
      </c>
    </row>
    <row r="34" ht="26" customHeight="1">
      <c r="A34" s="4" t="n">
        <v>46163</v>
      </c>
      <c r="B34" s="5" t="inlineStr">
        <is>
          <t>香氛蠟燭禮盒</t>
        </is>
      </c>
      <c r="C34" s="5" t="inlineStr">
        <is>
          <t>生活</t>
        </is>
      </c>
      <c r="D34" s="5" t="n">
        <v>23</v>
      </c>
      <c r="E34" s="6" t="n">
        <v>980</v>
      </c>
      <c r="F34" s="6" t="n">
        <v>22540</v>
      </c>
      <c r="G34" s="6" t="n">
        <v>11960</v>
      </c>
      <c r="H34" s="6" t="n">
        <v>10580</v>
      </c>
      <c r="I34" s="7" t="n">
        <v>0.4694</v>
      </c>
      <c r="J34" s="5" t="inlineStr">
        <is>
          <t>官網</t>
        </is>
      </c>
      <c r="K34" s="5" t="inlineStr">
        <is>
          <t>王美玲</t>
        </is>
      </c>
      <c r="L34" s="5" t="inlineStr"/>
    </row>
    <row r="35" ht="26" customHeight="1">
      <c r="A35" s="4" t="n">
        <v>46171</v>
      </c>
      <c r="B35" s="5" t="inlineStr">
        <is>
          <t>手機支架</t>
        </is>
      </c>
      <c r="C35" s="5" t="inlineStr">
        <is>
          <t>3C</t>
        </is>
      </c>
      <c r="D35" s="5" t="n">
        <v>23</v>
      </c>
      <c r="E35" s="6" t="n">
        <v>390</v>
      </c>
      <c r="F35" s="6" t="n">
        <v>8970</v>
      </c>
      <c r="G35" s="6" t="n">
        <v>4370</v>
      </c>
      <c r="H35" s="6" t="n">
        <v>4600</v>
      </c>
      <c r="I35" s="7" t="n">
        <v>0.5128</v>
      </c>
      <c r="J35" s="5" t="inlineStr">
        <is>
          <t>實體活動</t>
        </is>
      </c>
      <c r="K35" s="5" t="inlineStr">
        <is>
          <t>黃國華</t>
        </is>
      </c>
      <c r="L35" s="5" t="inlineStr"/>
    </row>
    <row r="36" ht="26" customHeight="1">
      <c r="A36" s="4" t="n">
        <v>46151</v>
      </c>
      <c r="B36" s="5" t="inlineStr">
        <is>
          <t>質感木紋收納盒</t>
        </is>
      </c>
      <c r="C36" s="5" t="inlineStr">
        <is>
          <t>居家</t>
        </is>
      </c>
      <c r="D36" s="5" t="n">
        <v>5</v>
      </c>
      <c r="E36" s="6" t="n">
        <v>680</v>
      </c>
      <c r="F36" s="6" t="n">
        <v>3400</v>
      </c>
      <c r="G36" s="6" t="n">
        <v>1800</v>
      </c>
      <c r="H36" s="6" t="n">
        <v>1600</v>
      </c>
      <c r="I36" s="7" t="n">
        <v>0.4706</v>
      </c>
      <c r="J36" s="5" t="inlineStr">
        <is>
          <t>實體活動</t>
        </is>
      </c>
      <c r="K36" s="5" t="inlineStr">
        <is>
          <t>黃國華</t>
        </is>
      </c>
      <c r="L36" s="5" t="inlineStr"/>
    </row>
    <row r="37" ht="26" customHeight="1">
      <c r="A37" s="4" t="n">
        <v>46144</v>
      </c>
      <c r="B37" s="5" t="inlineStr">
        <is>
          <t>質感木紋收納盒</t>
        </is>
      </c>
      <c r="C37" s="5" t="inlineStr">
        <is>
          <t>居家</t>
        </is>
      </c>
      <c r="D37" s="5" t="n">
        <v>26</v>
      </c>
      <c r="E37" s="6" t="n">
        <v>680</v>
      </c>
      <c r="F37" s="6" t="n">
        <v>17680</v>
      </c>
      <c r="G37" s="6" t="n">
        <v>9360</v>
      </c>
      <c r="H37" s="6" t="n">
        <v>8320</v>
      </c>
      <c r="I37" s="7" t="n">
        <v>0.4706</v>
      </c>
      <c r="J37" s="5" t="inlineStr">
        <is>
          <t>官網</t>
        </is>
      </c>
      <c r="K37" s="5" t="inlineStr">
        <is>
          <t>黃國華</t>
        </is>
      </c>
      <c r="L37" s="5" t="inlineStr"/>
    </row>
    <row r="38" ht="26" customHeight="1">
      <c r="A38" s="4" t="n">
        <v>46162</v>
      </c>
      <c r="B38" s="5" t="inlineStr">
        <is>
          <t>質感木紋收納盒</t>
        </is>
      </c>
      <c r="C38" s="5" t="inlineStr">
        <is>
          <t>居家</t>
        </is>
      </c>
      <c r="D38" s="5" t="n">
        <v>19</v>
      </c>
      <c r="E38" s="6" t="n">
        <v>680</v>
      </c>
      <c r="F38" s="6" t="n">
        <v>12920</v>
      </c>
      <c r="G38" s="6" t="n">
        <v>6840</v>
      </c>
      <c r="H38" s="6" t="n">
        <v>6080</v>
      </c>
      <c r="I38" s="7" t="n">
        <v>0.4706</v>
      </c>
      <c r="J38" s="5" t="inlineStr">
        <is>
          <t>實體活動</t>
        </is>
      </c>
      <c r="K38" s="5" t="inlineStr">
        <is>
          <t>陳志明</t>
        </is>
      </c>
      <c r="L38" s="5" t="inlineStr"/>
    </row>
    <row r="39" ht="26" customHeight="1">
      <c r="A39" s="4" t="n">
        <v>46165</v>
      </c>
      <c r="B39" s="5" t="inlineStr">
        <is>
          <t>輕量托特包</t>
        </is>
      </c>
      <c r="C39" s="5" t="inlineStr">
        <is>
          <t>服飾</t>
        </is>
      </c>
      <c r="D39" s="5" t="n">
        <v>20</v>
      </c>
      <c r="E39" s="6" t="n">
        <v>1280</v>
      </c>
      <c r="F39" s="6" t="n">
        <v>25600</v>
      </c>
      <c r="G39" s="6" t="n">
        <v>15600</v>
      </c>
      <c r="H39" s="6" t="n">
        <v>10000</v>
      </c>
      <c r="I39" s="7" t="n">
        <v>0.3906</v>
      </c>
      <c r="J39" s="5" t="inlineStr">
        <is>
          <t>LINE社群</t>
        </is>
      </c>
      <c r="K39" s="5" t="inlineStr">
        <is>
          <t>陳志明</t>
        </is>
      </c>
      <c r="L39" s="5" t="inlineStr"/>
    </row>
    <row r="40" ht="26" customHeight="1">
      <c r="A40" s="4" t="n">
        <v>46160</v>
      </c>
      <c r="B40" s="5" t="inlineStr">
        <is>
          <t>香氛蠟燭禮盒</t>
        </is>
      </c>
      <c r="C40" s="5" t="inlineStr">
        <is>
          <t>生活</t>
        </is>
      </c>
      <c r="D40" s="5" t="n">
        <v>10</v>
      </c>
      <c r="E40" s="6" t="n">
        <v>980</v>
      </c>
      <c r="F40" s="6" t="n">
        <v>9800</v>
      </c>
      <c r="G40" s="6" t="n">
        <v>5200</v>
      </c>
      <c r="H40" s="6" t="n">
        <v>4600</v>
      </c>
      <c r="I40" s="7" t="n">
        <v>0.4694</v>
      </c>
      <c r="J40" s="5" t="inlineStr">
        <is>
          <t>LINE社群</t>
        </is>
      </c>
      <c r="K40" s="5" t="inlineStr">
        <is>
          <t>黃國華</t>
        </is>
      </c>
      <c r="L40" s="5" t="inlineStr"/>
    </row>
    <row r="41" ht="26" customHeight="1">
      <c r="A41" s="4" t="n">
        <v>46159</v>
      </c>
      <c r="B41" s="5" t="inlineStr">
        <is>
          <t>輕量托特包</t>
        </is>
      </c>
      <c r="C41" s="5" t="inlineStr">
        <is>
          <t>服飾</t>
        </is>
      </c>
      <c r="D41" s="5" t="n">
        <v>9</v>
      </c>
      <c r="E41" s="6" t="n">
        <v>1280</v>
      </c>
      <c r="F41" s="6" t="n">
        <v>11520</v>
      </c>
      <c r="G41" s="6" t="n">
        <v>7020</v>
      </c>
      <c r="H41" s="6" t="n">
        <v>4500</v>
      </c>
      <c r="I41" s="7" t="n">
        <v>0.3906</v>
      </c>
      <c r="J41" s="5" t="inlineStr">
        <is>
          <t>實體活動</t>
        </is>
      </c>
      <c r="K41" s="5" t="inlineStr">
        <is>
          <t>黃國華</t>
        </is>
      </c>
      <c r="L41" s="5" t="inlineStr"/>
    </row>
    <row r="42" ht="26" customHeight="1">
      <c r="A42" s="4" t="n">
        <v>46168</v>
      </c>
      <c r="B42" s="5" t="inlineStr">
        <is>
          <t>香氛蠟燭禮盒</t>
        </is>
      </c>
      <c r="C42" s="5" t="inlineStr">
        <is>
          <t>生活</t>
        </is>
      </c>
      <c r="D42" s="5" t="n">
        <v>12</v>
      </c>
      <c r="E42" s="6" t="n">
        <v>980</v>
      </c>
      <c r="F42" s="6" t="n">
        <v>11760</v>
      </c>
      <c r="G42" s="6" t="n">
        <v>6240</v>
      </c>
      <c r="H42" s="6" t="n">
        <v>5520</v>
      </c>
      <c r="I42" s="7" t="n">
        <v>0.4694</v>
      </c>
      <c r="J42" s="5" t="inlineStr">
        <is>
          <t>蝦皮</t>
        </is>
      </c>
      <c r="K42" s="5" t="inlineStr">
        <is>
          <t>黃國華</t>
        </is>
      </c>
      <c r="L42" s="5" t="inlineStr"/>
    </row>
    <row r="43" ht="26" customHeight="1">
      <c r="A43" s="4" t="n">
        <v>46155</v>
      </c>
      <c r="B43" s="5" t="inlineStr">
        <is>
          <t>手機支架</t>
        </is>
      </c>
      <c r="C43" s="5" t="inlineStr">
        <is>
          <t>3C</t>
        </is>
      </c>
      <c r="D43" s="5" t="n">
        <v>21</v>
      </c>
      <c r="E43" s="6" t="n">
        <v>390</v>
      </c>
      <c r="F43" s="6" t="n">
        <v>8190</v>
      </c>
      <c r="G43" s="6" t="n">
        <v>3990</v>
      </c>
      <c r="H43" s="6" t="n">
        <v>4200</v>
      </c>
      <c r="I43" s="7" t="n">
        <v>0.5128</v>
      </c>
      <c r="J43" s="5" t="inlineStr">
        <is>
          <t>LINE社群</t>
        </is>
      </c>
      <c r="K43" s="5" t="inlineStr">
        <is>
          <t>林雅婷</t>
        </is>
      </c>
      <c r="L43" s="5" t="inlineStr"/>
    </row>
    <row r="44" ht="26" customHeight="1">
      <c r="A44" s="4" t="n">
        <v>46172</v>
      </c>
      <c r="B44" s="5" t="inlineStr">
        <is>
          <t>旅行分裝瓶組</t>
        </is>
      </c>
      <c r="C44" s="5" t="inlineStr">
        <is>
          <t>旅遊</t>
        </is>
      </c>
      <c r="D44" s="5" t="n">
        <v>20</v>
      </c>
      <c r="E44" s="6" t="n">
        <v>350</v>
      </c>
      <c r="F44" s="6" t="n">
        <v>7000</v>
      </c>
      <c r="G44" s="6" t="n">
        <v>3200</v>
      </c>
      <c r="H44" s="6" t="n">
        <v>3800</v>
      </c>
      <c r="I44" s="7" t="n">
        <v>0.5429</v>
      </c>
      <c r="J44" s="5" t="inlineStr">
        <is>
          <t>官網</t>
        </is>
      </c>
      <c r="K44" s="5" t="inlineStr">
        <is>
          <t>陳志明</t>
        </is>
      </c>
      <c r="L44" s="5" t="inlineStr"/>
    </row>
    <row r="45" ht="26" customHeight="1">
      <c r="A45" s="4" t="n">
        <v>46171</v>
      </c>
      <c r="B45" s="5" t="inlineStr">
        <is>
          <t>輕量托特包</t>
        </is>
      </c>
      <c r="C45" s="5" t="inlineStr">
        <is>
          <t>服飾</t>
        </is>
      </c>
      <c r="D45" s="5" t="n">
        <v>3</v>
      </c>
      <c r="E45" s="6" t="n">
        <v>1280</v>
      </c>
      <c r="F45" s="6" t="n">
        <v>3840</v>
      </c>
      <c r="G45" s="6" t="n">
        <v>2340</v>
      </c>
      <c r="H45" s="6" t="n">
        <v>1500</v>
      </c>
      <c r="I45" s="7" t="n">
        <v>0.3906</v>
      </c>
      <c r="J45" s="5" t="inlineStr">
        <is>
          <t>官網</t>
        </is>
      </c>
      <c r="K45" s="5" t="inlineStr">
        <is>
          <t>陳志明</t>
        </is>
      </c>
      <c r="L45" s="5" t="inlineStr"/>
    </row>
    <row r="46" ht="26" customHeight="1">
      <c r="A46" s="4" t="n">
        <v>46169</v>
      </c>
      <c r="B46" s="5" t="inlineStr">
        <is>
          <t>旅行分裝瓶組</t>
        </is>
      </c>
      <c r="C46" s="5" t="inlineStr">
        <is>
          <t>旅遊</t>
        </is>
      </c>
      <c r="D46" s="5" t="n">
        <v>21</v>
      </c>
      <c r="E46" s="6" t="n">
        <v>350</v>
      </c>
      <c r="F46" s="6" t="n">
        <v>7350</v>
      </c>
      <c r="G46" s="6" t="n">
        <v>3360</v>
      </c>
      <c r="H46" s="6" t="n">
        <v>3990</v>
      </c>
      <c r="I46" s="7" t="n">
        <v>0.5429</v>
      </c>
      <c r="J46" s="5" t="inlineStr">
        <is>
          <t>官網</t>
        </is>
      </c>
      <c r="K46" s="5" t="inlineStr">
        <is>
          <t>王美玲</t>
        </is>
      </c>
      <c r="L46" s="5" t="inlineStr"/>
    </row>
    <row r="47" ht="26" customHeight="1">
      <c r="A47" s="4" t="n">
        <v>46173</v>
      </c>
      <c r="B47" s="5" t="inlineStr">
        <is>
          <t>旅行分裝瓶組</t>
        </is>
      </c>
      <c r="C47" s="5" t="inlineStr">
        <is>
          <t>旅遊</t>
        </is>
      </c>
      <c r="D47" s="5" t="n">
        <v>2</v>
      </c>
      <c r="E47" s="6" t="n">
        <v>350</v>
      </c>
      <c r="F47" s="6" t="n">
        <v>700</v>
      </c>
      <c r="G47" s="6" t="n">
        <v>320</v>
      </c>
      <c r="H47" s="6" t="n">
        <v>380</v>
      </c>
      <c r="I47" s="7" t="n">
        <v>0.5429</v>
      </c>
      <c r="J47" s="5" t="inlineStr">
        <is>
          <t>實體活動</t>
        </is>
      </c>
      <c r="K47" s="5" t="inlineStr">
        <is>
          <t>林雅婷</t>
        </is>
      </c>
      <c r="L47" s="5" t="inlineStr"/>
    </row>
    <row r="48" ht="26" customHeight="1">
      <c r="A48" s="4" t="n">
        <v>46162</v>
      </c>
      <c r="B48" s="5" t="inlineStr">
        <is>
          <t>香氛蠟燭禮盒</t>
        </is>
      </c>
      <c r="C48" s="5" t="inlineStr">
        <is>
          <t>生活</t>
        </is>
      </c>
      <c r="D48" s="5" t="n">
        <v>28</v>
      </c>
      <c r="E48" s="6" t="n">
        <v>980</v>
      </c>
      <c r="F48" s="6" t="n">
        <v>27440</v>
      </c>
      <c r="G48" s="6" t="n">
        <v>14560</v>
      </c>
      <c r="H48" s="6" t="n">
        <v>12880</v>
      </c>
      <c r="I48" s="7" t="n">
        <v>0.4694</v>
      </c>
      <c r="J48" s="5" t="inlineStr">
        <is>
          <t>蝦皮</t>
        </is>
      </c>
      <c r="K48" s="5" t="inlineStr">
        <is>
          <t>陳志明</t>
        </is>
      </c>
      <c r="L48" s="5" t="inlineStr"/>
    </row>
    <row r="49" ht="26" customHeight="1">
      <c r="A49" s="4" t="n">
        <v>46158</v>
      </c>
      <c r="B49" s="5" t="inlineStr">
        <is>
          <t>質感木紋收納盒</t>
        </is>
      </c>
      <c r="C49" s="5" t="inlineStr">
        <is>
          <t>居家</t>
        </is>
      </c>
      <c r="D49" s="5" t="n">
        <v>31</v>
      </c>
      <c r="E49" s="6" t="n">
        <v>680</v>
      </c>
      <c r="F49" s="6" t="n">
        <v>21080</v>
      </c>
      <c r="G49" s="6" t="n">
        <v>11160</v>
      </c>
      <c r="H49" s="6" t="n">
        <v>9920</v>
      </c>
      <c r="I49" s="7" t="n">
        <v>0.4706</v>
      </c>
      <c r="J49" s="5" t="inlineStr">
        <is>
          <t>LINE社群</t>
        </is>
      </c>
      <c r="K49" s="5" t="inlineStr">
        <is>
          <t>林雅婷</t>
        </is>
      </c>
      <c r="L49" s="5" t="inlineStr"/>
    </row>
    <row r="50" ht="26" customHeight="1">
      <c r="A50" s="4" t="n">
        <v>46169</v>
      </c>
      <c r="B50" s="5" t="inlineStr">
        <is>
          <t>質感木紋收納盒</t>
        </is>
      </c>
      <c r="C50" s="5" t="inlineStr">
        <is>
          <t>居家</t>
        </is>
      </c>
      <c r="D50" s="5" t="n">
        <v>11</v>
      </c>
      <c r="E50" s="6" t="n">
        <v>680</v>
      </c>
      <c r="F50" s="6" t="n">
        <v>7480</v>
      </c>
      <c r="G50" s="6" t="n">
        <v>3960</v>
      </c>
      <c r="H50" s="6" t="n">
        <v>3520</v>
      </c>
      <c r="I50" s="7" t="n">
        <v>0.4706</v>
      </c>
      <c r="J50" s="5" t="inlineStr">
        <is>
          <t>實體活動</t>
        </is>
      </c>
      <c r="K50" s="5" t="inlineStr">
        <is>
          <t>王美玲</t>
        </is>
      </c>
      <c r="L50" s="5" t="inlineStr"/>
    </row>
    <row r="51" ht="26" customHeight="1">
      <c r="A51" s="4" t="n">
        <v>46148</v>
      </c>
      <c r="B51" s="5" t="inlineStr">
        <is>
          <t>質感木紋收納盒</t>
        </is>
      </c>
      <c r="C51" s="5" t="inlineStr">
        <is>
          <t>居家</t>
        </is>
      </c>
      <c r="D51" s="5" t="n">
        <v>5</v>
      </c>
      <c r="E51" s="6" t="n">
        <v>680</v>
      </c>
      <c r="F51" s="6" t="n">
        <v>3400</v>
      </c>
      <c r="G51" s="6" t="n">
        <v>1800</v>
      </c>
      <c r="H51" s="6" t="n">
        <v>1600</v>
      </c>
      <c r="I51" s="7" t="n">
        <v>0.4706</v>
      </c>
      <c r="J51" s="5" t="inlineStr">
        <is>
          <t>蝦皮</t>
        </is>
      </c>
      <c r="K51" s="5" t="inlineStr">
        <is>
          <t>陳志明</t>
        </is>
      </c>
      <c r="L51" s="5" t="inlineStr"/>
    </row>
    <row r="52" ht="26" customHeight="1">
      <c r="A52" s="4" t="n">
        <v>46153</v>
      </c>
      <c r="B52" s="5" t="inlineStr">
        <is>
          <t>旅行分裝瓶組</t>
        </is>
      </c>
      <c r="C52" s="5" t="inlineStr">
        <is>
          <t>旅遊</t>
        </is>
      </c>
      <c r="D52" s="5" t="n">
        <v>10</v>
      </c>
      <c r="E52" s="6" t="n">
        <v>350</v>
      </c>
      <c r="F52" s="6" t="n">
        <v>3500</v>
      </c>
      <c r="G52" s="6" t="n">
        <v>1600</v>
      </c>
      <c r="H52" s="6" t="n">
        <v>1900</v>
      </c>
      <c r="I52" s="7" t="n">
        <v>0.5429</v>
      </c>
      <c r="J52" s="5" t="inlineStr">
        <is>
          <t>官網</t>
        </is>
      </c>
      <c r="K52" s="5" t="inlineStr">
        <is>
          <t>林雅婷</t>
        </is>
      </c>
      <c r="L52" s="5" t="inlineStr"/>
    </row>
    <row r="53" ht="26" customHeight="1">
      <c r="A53" s="4" t="n">
        <v>46162</v>
      </c>
      <c r="B53" s="5" t="inlineStr">
        <is>
          <t>輕量托特包</t>
        </is>
      </c>
      <c r="C53" s="5" t="inlineStr">
        <is>
          <t>服飾</t>
        </is>
      </c>
      <c r="D53" s="5" t="n">
        <v>19</v>
      </c>
      <c r="E53" s="6" t="n">
        <v>1280</v>
      </c>
      <c r="F53" s="6" t="n">
        <v>24320</v>
      </c>
      <c r="G53" s="6" t="n">
        <v>14820</v>
      </c>
      <c r="H53" s="6" t="n">
        <v>9500</v>
      </c>
      <c r="I53" s="7" t="n">
        <v>0.3906</v>
      </c>
      <c r="J53" s="5" t="inlineStr">
        <is>
          <t>LINE社群</t>
        </is>
      </c>
      <c r="K53" s="5" t="inlineStr">
        <is>
          <t>黃國華</t>
        </is>
      </c>
      <c r="L53" s="5" t="inlineStr"/>
    </row>
    <row r="54" ht="26" customHeight="1">
      <c r="A54" s="4" t="n">
        <v>46168</v>
      </c>
      <c r="B54" s="5" t="inlineStr">
        <is>
          <t>香氛蠟燭禮盒</t>
        </is>
      </c>
      <c r="C54" s="5" t="inlineStr">
        <is>
          <t>生活</t>
        </is>
      </c>
      <c r="D54" s="5" t="n">
        <v>9</v>
      </c>
      <c r="E54" s="6" t="n">
        <v>980</v>
      </c>
      <c r="F54" s="6" t="n">
        <v>8820</v>
      </c>
      <c r="G54" s="6" t="n">
        <v>4680</v>
      </c>
      <c r="H54" s="6" t="n">
        <v>4140</v>
      </c>
      <c r="I54" s="7" t="n">
        <v>0.4694</v>
      </c>
      <c r="J54" s="5" t="inlineStr">
        <is>
          <t>LINE社群</t>
        </is>
      </c>
      <c r="K54" s="5" t="inlineStr">
        <is>
          <t>黃國華</t>
        </is>
      </c>
      <c r="L54" s="5" t="inlineStr"/>
    </row>
    <row r="55" ht="26" customHeight="1">
      <c r="A55" s="4" t="n">
        <v>46150</v>
      </c>
      <c r="B55" s="5" t="inlineStr">
        <is>
          <t>輕量托特包</t>
        </is>
      </c>
      <c r="C55" s="5" t="inlineStr">
        <is>
          <t>服飾</t>
        </is>
      </c>
      <c r="D55" s="5" t="n">
        <v>14</v>
      </c>
      <c r="E55" s="6" t="n">
        <v>1280</v>
      </c>
      <c r="F55" s="6" t="n">
        <v>17920</v>
      </c>
      <c r="G55" s="6" t="n">
        <v>10920</v>
      </c>
      <c r="H55" s="6" t="n">
        <v>7000</v>
      </c>
      <c r="I55" s="7" t="n">
        <v>0.3906</v>
      </c>
      <c r="J55" s="5" t="inlineStr">
        <is>
          <t>蝦皮</t>
        </is>
      </c>
      <c r="K55" s="5" t="inlineStr">
        <is>
          <t>王美玲</t>
        </is>
      </c>
      <c r="L55" s="5" t="inlineStr"/>
    </row>
    <row r="56" ht="26" customHeight="1">
      <c r="A56" s="4" t="n">
        <v>46173</v>
      </c>
      <c r="B56" s="5" t="inlineStr">
        <is>
          <t>香氛蠟燭禮盒</t>
        </is>
      </c>
      <c r="C56" s="5" t="inlineStr">
        <is>
          <t>生活</t>
        </is>
      </c>
      <c r="D56" s="5" t="n">
        <v>22</v>
      </c>
      <c r="E56" s="6" t="n">
        <v>980</v>
      </c>
      <c r="F56" s="6" t="n">
        <v>21560</v>
      </c>
      <c r="G56" s="6" t="n">
        <v>11440</v>
      </c>
      <c r="H56" s="6" t="n">
        <v>10120</v>
      </c>
      <c r="I56" s="7" t="n">
        <v>0.4694</v>
      </c>
      <c r="J56" s="5" t="inlineStr">
        <is>
          <t>LINE社群</t>
        </is>
      </c>
      <c r="K56" s="5" t="inlineStr">
        <is>
          <t>王美玲</t>
        </is>
      </c>
      <c r="L56" s="5" t="inlineStr"/>
    </row>
    <row r="57" ht="26" customHeight="1">
      <c r="A57" s="4" t="n">
        <v>46146</v>
      </c>
      <c r="B57" s="5" t="inlineStr">
        <is>
          <t>旅行分裝瓶組</t>
        </is>
      </c>
      <c r="C57" s="5" t="inlineStr">
        <is>
          <t>旅遊</t>
        </is>
      </c>
      <c r="D57" s="5" t="n">
        <v>14</v>
      </c>
      <c r="E57" s="6" t="n">
        <v>350</v>
      </c>
      <c r="F57" s="6" t="n">
        <v>4900</v>
      </c>
      <c r="G57" s="6" t="n">
        <v>2240</v>
      </c>
      <c r="H57" s="6" t="n">
        <v>2660</v>
      </c>
      <c r="I57" s="7" t="n">
        <v>0.5429</v>
      </c>
      <c r="J57" s="5" t="inlineStr">
        <is>
          <t>實體活動</t>
        </is>
      </c>
      <c r="K57" s="5" t="inlineStr">
        <is>
          <t>林雅婷</t>
        </is>
      </c>
      <c r="L57" s="5" t="inlineStr"/>
    </row>
    <row r="58" ht="26" customHeight="1">
      <c r="A58" s="4" t="n">
        <v>46159</v>
      </c>
      <c r="B58" s="5" t="inlineStr">
        <is>
          <t>隨身保溫杯</t>
        </is>
      </c>
      <c r="C58" s="5" t="inlineStr">
        <is>
          <t>生活</t>
        </is>
      </c>
      <c r="D58" s="5" t="n">
        <v>16</v>
      </c>
      <c r="E58" s="6" t="n">
        <v>790</v>
      </c>
      <c r="F58" s="6" t="n">
        <v>12640</v>
      </c>
      <c r="G58" s="6" t="n">
        <v>6880</v>
      </c>
      <c r="H58" s="6" t="n">
        <v>5760</v>
      </c>
      <c r="I58" s="7" t="n">
        <v>0.4557</v>
      </c>
      <c r="J58" s="5" t="inlineStr">
        <is>
          <t>LINE社群</t>
        </is>
      </c>
      <c r="K58" s="5" t="inlineStr">
        <is>
          <t>黃國華</t>
        </is>
      </c>
      <c r="L58" s="5" t="inlineStr"/>
    </row>
    <row r="59" ht="26" customHeight="1">
      <c r="A59" s="4" t="n">
        <v>46160</v>
      </c>
      <c r="B59" s="5" t="inlineStr">
        <is>
          <t>質感木紋收納盒</t>
        </is>
      </c>
      <c r="C59" s="5" t="inlineStr">
        <is>
          <t>居家</t>
        </is>
      </c>
      <c r="D59" s="5" t="n">
        <v>19</v>
      </c>
      <c r="E59" s="6" t="n">
        <v>680</v>
      </c>
      <c r="F59" s="6" t="n">
        <v>12920</v>
      </c>
      <c r="G59" s="6" t="n">
        <v>6840</v>
      </c>
      <c r="H59" s="6" t="n">
        <v>6080</v>
      </c>
      <c r="I59" s="7" t="n">
        <v>0.4706</v>
      </c>
      <c r="J59" s="5" t="inlineStr">
        <is>
          <t>官網</t>
        </is>
      </c>
      <c r="K59" s="5" t="inlineStr">
        <is>
          <t>陳志明</t>
        </is>
      </c>
      <c r="L59" s="5" t="inlineStr"/>
    </row>
    <row r="60" ht="26" customHeight="1">
      <c r="A60" s="4" t="n">
        <v>46162</v>
      </c>
      <c r="B60" s="5" t="inlineStr">
        <is>
          <t>輕量托特包</t>
        </is>
      </c>
      <c r="C60" s="5" t="inlineStr">
        <is>
          <t>服飾</t>
        </is>
      </c>
      <c r="D60" s="5" t="n">
        <v>2</v>
      </c>
      <c r="E60" s="6" t="n">
        <v>1280</v>
      </c>
      <c r="F60" s="6" t="n">
        <v>2560</v>
      </c>
      <c r="G60" s="6" t="n">
        <v>1560</v>
      </c>
      <c r="H60" s="6" t="n">
        <v>1000</v>
      </c>
      <c r="I60" s="7" t="n">
        <v>0.3906</v>
      </c>
      <c r="J60" s="5" t="inlineStr">
        <is>
          <t>蝦皮</t>
        </is>
      </c>
      <c r="K60" s="5" t="inlineStr">
        <is>
          <t>林雅婷</t>
        </is>
      </c>
      <c r="L60" s="5" t="inlineStr"/>
    </row>
    <row r="61" ht="26" customHeight="1">
      <c r="A61" s="4" t="n">
        <v>46159</v>
      </c>
      <c r="B61" s="5" t="inlineStr">
        <is>
          <t>隨身保溫杯</t>
        </is>
      </c>
      <c r="C61" s="5" t="inlineStr">
        <is>
          <t>生活</t>
        </is>
      </c>
      <c r="D61" s="5" t="n">
        <v>19</v>
      </c>
      <c r="E61" s="6" t="n">
        <v>790</v>
      </c>
      <c r="F61" s="6" t="n">
        <v>15010</v>
      </c>
      <c r="G61" s="6" t="n">
        <v>8170</v>
      </c>
      <c r="H61" s="6" t="n">
        <v>6840</v>
      </c>
      <c r="I61" s="7" t="n">
        <v>0.4557</v>
      </c>
      <c r="J61" s="5" t="inlineStr">
        <is>
          <t>蝦皮</t>
        </is>
      </c>
      <c r="K61" s="5" t="inlineStr">
        <is>
          <t>王美玲</t>
        </is>
      </c>
      <c r="L61" s="5" t="inlineStr"/>
    </row>
    <row r="62" ht="26" customHeight="1">
      <c r="A62" s="4" t="n">
        <v>46151</v>
      </c>
      <c r="B62" s="5" t="inlineStr">
        <is>
          <t>手機支架</t>
        </is>
      </c>
      <c r="C62" s="5" t="inlineStr">
        <is>
          <t>3C</t>
        </is>
      </c>
      <c r="D62" s="5" t="n">
        <v>25</v>
      </c>
      <c r="E62" s="6" t="n">
        <v>390</v>
      </c>
      <c r="F62" s="6" t="n">
        <v>9750</v>
      </c>
      <c r="G62" s="6" t="n">
        <v>4750</v>
      </c>
      <c r="H62" s="6" t="n">
        <v>5000</v>
      </c>
      <c r="I62" s="7" t="n">
        <v>0.5128</v>
      </c>
      <c r="J62" s="5" t="inlineStr">
        <is>
          <t>實體活動</t>
        </is>
      </c>
      <c r="K62" s="5" t="inlineStr">
        <is>
          <t>黃國華</t>
        </is>
      </c>
      <c r="L62" s="5" t="inlineStr"/>
    </row>
    <row r="63" ht="26" customHeight="1">
      <c r="A63" s="4" t="n">
        <v>46148</v>
      </c>
      <c r="B63" s="5" t="inlineStr">
        <is>
          <t>隨身保溫杯</t>
        </is>
      </c>
      <c r="C63" s="5" t="inlineStr">
        <is>
          <t>生活</t>
        </is>
      </c>
      <c r="D63" s="5" t="n">
        <v>24</v>
      </c>
      <c r="E63" s="6" t="n">
        <v>790</v>
      </c>
      <c r="F63" s="6" t="n">
        <v>18960</v>
      </c>
      <c r="G63" s="6" t="n">
        <v>10320</v>
      </c>
      <c r="H63" s="6" t="n">
        <v>8640</v>
      </c>
      <c r="I63" s="7" t="n">
        <v>0.4557</v>
      </c>
      <c r="J63" s="5" t="inlineStr">
        <is>
          <t>LINE社群</t>
        </is>
      </c>
      <c r="K63" s="5" t="inlineStr">
        <is>
          <t>黃國華</t>
        </is>
      </c>
      <c r="L63" s="5" t="inlineStr"/>
    </row>
    <row r="64" ht="26" customHeight="1">
      <c r="A64" s="4" t="n">
        <v>46167</v>
      </c>
      <c r="B64" s="5" t="inlineStr">
        <is>
          <t>香氛蠟燭禮盒</t>
        </is>
      </c>
      <c r="C64" s="5" t="inlineStr">
        <is>
          <t>生活</t>
        </is>
      </c>
      <c r="D64" s="5" t="n">
        <v>8</v>
      </c>
      <c r="E64" s="6" t="n">
        <v>980</v>
      </c>
      <c r="F64" s="6" t="n">
        <v>7840</v>
      </c>
      <c r="G64" s="6" t="n">
        <v>4160</v>
      </c>
      <c r="H64" s="6" t="n">
        <v>3680</v>
      </c>
      <c r="I64" s="7" t="n">
        <v>0.4694</v>
      </c>
      <c r="J64" s="5" t="inlineStr">
        <is>
          <t>蝦皮</t>
        </is>
      </c>
      <c r="K64" s="5" t="inlineStr">
        <is>
          <t>王美玲</t>
        </is>
      </c>
      <c r="L64" s="5" t="inlineStr"/>
    </row>
    <row r="65" ht="26" customHeight="1">
      <c r="A65" s="4" t="n">
        <v>46170</v>
      </c>
      <c r="B65" s="5" t="inlineStr">
        <is>
          <t>輕量托特包</t>
        </is>
      </c>
      <c r="C65" s="5" t="inlineStr">
        <is>
          <t>服飾</t>
        </is>
      </c>
      <c r="D65" s="5" t="n">
        <v>13</v>
      </c>
      <c r="E65" s="6" t="n">
        <v>1280</v>
      </c>
      <c r="F65" s="6" t="n">
        <v>16640</v>
      </c>
      <c r="G65" s="6" t="n">
        <v>10140</v>
      </c>
      <c r="H65" s="6" t="n">
        <v>6500</v>
      </c>
      <c r="I65" s="7" t="n">
        <v>0.3906</v>
      </c>
      <c r="J65" s="5" t="inlineStr">
        <is>
          <t>官網</t>
        </is>
      </c>
      <c r="K65" s="5" t="inlineStr">
        <is>
          <t>黃國華</t>
        </is>
      </c>
      <c r="L65" s="5" t="inlineStr"/>
    </row>
    <row r="66" ht="26" customHeight="1">
      <c r="A66" s="4" t="n">
        <v>46167</v>
      </c>
      <c r="B66" s="5" t="inlineStr">
        <is>
          <t>隨身保溫杯</t>
        </is>
      </c>
      <c r="C66" s="5" t="inlineStr">
        <is>
          <t>生活</t>
        </is>
      </c>
      <c r="D66" s="5" t="n">
        <v>21</v>
      </c>
      <c r="E66" s="6" t="n">
        <v>790</v>
      </c>
      <c r="F66" s="6" t="n">
        <v>16590</v>
      </c>
      <c r="G66" s="6" t="n">
        <v>9030</v>
      </c>
      <c r="H66" s="6" t="n">
        <v>7560</v>
      </c>
      <c r="I66" s="7" t="n">
        <v>0.4557</v>
      </c>
      <c r="J66" s="5" t="inlineStr">
        <is>
          <t>官網</t>
        </is>
      </c>
      <c r="K66" s="5" t="inlineStr">
        <is>
          <t>陳志明</t>
        </is>
      </c>
      <c r="L66" s="5" t="inlineStr"/>
    </row>
    <row r="67" ht="26" customHeight="1">
      <c r="A67" s="4" t="n">
        <v>46149</v>
      </c>
      <c r="B67" s="5" t="inlineStr">
        <is>
          <t>旅行分裝瓶組</t>
        </is>
      </c>
      <c r="C67" s="5" t="inlineStr">
        <is>
          <t>旅遊</t>
        </is>
      </c>
      <c r="D67" s="5" t="n">
        <v>27</v>
      </c>
      <c r="E67" s="6" t="n">
        <v>350</v>
      </c>
      <c r="F67" s="6" t="n">
        <v>9450</v>
      </c>
      <c r="G67" s="6" t="n">
        <v>4320</v>
      </c>
      <c r="H67" s="6" t="n">
        <v>5130</v>
      </c>
      <c r="I67" s="7" t="n">
        <v>0.5429</v>
      </c>
      <c r="J67" s="5" t="inlineStr">
        <is>
          <t>LINE社群</t>
        </is>
      </c>
      <c r="K67" s="5" t="inlineStr">
        <is>
          <t>陳志明</t>
        </is>
      </c>
      <c r="L67" s="5" t="inlineStr"/>
    </row>
    <row r="68" ht="26" customHeight="1">
      <c r="A68" s="4" t="n">
        <v>46172</v>
      </c>
      <c r="B68" s="5" t="inlineStr">
        <is>
          <t>香氛蠟燭禮盒</t>
        </is>
      </c>
      <c r="C68" s="5" t="inlineStr">
        <is>
          <t>生活</t>
        </is>
      </c>
      <c r="D68" s="5" t="n">
        <v>18</v>
      </c>
      <c r="E68" s="6" t="n">
        <v>980</v>
      </c>
      <c r="F68" s="6" t="n">
        <v>17640</v>
      </c>
      <c r="G68" s="6" t="n">
        <v>9360</v>
      </c>
      <c r="H68" s="6" t="n">
        <v>8280</v>
      </c>
      <c r="I68" s="7" t="n">
        <v>0.4694</v>
      </c>
      <c r="J68" s="5" t="inlineStr">
        <is>
          <t>實體活動</t>
        </is>
      </c>
      <c r="K68" s="5" t="inlineStr">
        <is>
          <t>黃國華</t>
        </is>
      </c>
      <c r="L68" s="5" t="inlineStr"/>
    </row>
    <row r="69" ht="26" customHeight="1">
      <c r="A69" s="4" t="n">
        <v>46157</v>
      </c>
      <c r="B69" s="5" t="inlineStr">
        <is>
          <t>隨身保溫杯</t>
        </is>
      </c>
      <c r="C69" s="5" t="inlineStr">
        <is>
          <t>生活</t>
        </is>
      </c>
      <c r="D69" s="5" t="n">
        <v>10</v>
      </c>
      <c r="E69" s="6" t="n">
        <v>790</v>
      </c>
      <c r="F69" s="6" t="n">
        <v>7900</v>
      </c>
      <c r="G69" s="6" t="n">
        <v>4300</v>
      </c>
      <c r="H69" s="6" t="n">
        <v>3600</v>
      </c>
      <c r="I69" s="7" t="n">
        <v>0.4557</v>
      </c>
      <c r="J69" s="5" t="inlineStr">
        <is>
          <t>實體活動</t>
        </is>
      </c>
      <c r="K69" s="5" t="inlineStr">
        <is>
          <t>王美玲</t>
        </is>
      </c>
      <c r="L69" s="5" t="inlineStr"/>
    </row>
    <row r="70" ht="26" customHeight="1">
      <c r="A70" s="4" t="n">
        <v>46161</v>
      </c>
      <c r="B70" s="5" t="inlineStr">
        <is>
          <t>隨身保溫杯</t>
        </is>
      </c>
      <c r="C70" s="5" t="inlineStr">
        <is>
          <t>生活</t>
        </is>
      </c>
      <c r="D70" s="5" t="n">
        <v>7</v>
      </c>
      <c r="E70" s="6" t="n">
        <v>790</v>
      </c>
      <c r="F70" s="6" t="n">
        <v>5530</v>
      </c>
      <c r="G70" s="6" t="n">
        <v>3010</v>
      </c>
      <c r="H70" s="6" t="n">
        <v>2520</v>
      </c>
      <c r="I70" s="7" t="n">
        <v>0.4557</v>
      </c>
      <c r="J70" s="5" t="inlineStr">
        <is>
          <t>LINE社群</t>
        </is>
      </c>
      <c r="K70" s="5" t="inlineStr">
        <is>
          <t>林雅婷</t>
        </is>
      </c>
      <c r="L70" s="5" t="inlineStr"/>
    </row>
    <row r="71" ht="26" customHeight="1">
      <c r="A71" s="4" t="n">
        <v>46158</v>
      </c>
      <c r="B71" s="5" t="inlineStr">
        <is>
          <t>質感木紋收納盒</t>
        </is>
      </c>
      <c r="C71" s="5" t="inlineStr">
        <is>
          <t>居家</t>
        </is>
      </c>
      <c r="D71" s="5" t="n">
        <v>44</v>
      </c>
      <c r="E71" s="6" t="n">
        <v>680</v>
      </c>
      <c r="F71" s="6" t="n">
        <v>29920</v>
      </c>
      <c r="G71" s="6" t="n">
        <v>15840</v>
      </c>
      <c r="H71" s="6" t="n">
        <v>14080</v>
      </c>
      <c r="I71" s="7" t="n">
        <v>0.4706</v>
      </c>
      <c r="J71" s="5" t="inlineStr">
        <is>
          <t>LINE社群</t>
        </is>
      </c>
      <c r="K71" s="5" t="inlineStr">
        <is>
          <t>林雅婷</t>
        </is>
      </c>
      <c r="L71" s="5" t="inlineStr"/>
    </row>
    <row r="72" ht="26" customHeight="1">
      <c r="A72" s="4" t="n">
        <v>46156</v>
      </c>
      <c r="B72" s="5" t="inlineStr">
        <is>
          <t>輕量托特包</t>
        </is>
      </c>
      <c r="C72" s="5" t="inlineStr">
        <is>
          <t>服飾</t>
        </is>
      </c>
      <c r="D72" s="5" t="n">
        <v>14</v>
      </c>
      <c r="E72" s="6" t="n">
        <v>1280</v>
      </c>
      <c r="F72" s="6" t="n">
        <v>17920</v>
      </c>
      <c r="G72" s="6" t="n">
        <v>10920</v>
      </c>
      <c r="H72" s="6" t="n">
        <v>7000</v>
      </c>
      <c r="I72" s="7" t="n">
        <v>0.3906</v>
      </c>
      <c r="J72" s="5" t="inlineStr">
        <is>
          <t>蝦皮</t>
        </is>
      </c>
      <c r="K72" s="5" t="inlineStr">
        <is>
          <t>陳志明</t>
        </is>
      </c>
      <c r="L72" s="5" t="inlineStr"/>
    </row>
    <row r="73" ht="26" customHeight="1">
      <c r="A73" s="4" t="n">
        <v>46151</v>
      </c>
      <c r="B73" s="5" t="inlineStr">
        <is>
          <t>輕量托特包</t>
        </is>
      </c>
      <c r="C73" s="5" t="inlineStr">
        <is>
          <t>服飾</t>
        </is>
      </c>
      <c r="D73" s="5" t="n">
        <v>14</v>
      </c>
      <c r="E73" s="6" t="n">
        <v>1280</v>
      </c>
      <c r="F73" s="6" t="n">
        <v>17920</v>
      </c>
      <c r="G73" s="6" t="n">
        <v>10920</v>
      </c>
      <c r="H73" s="6" t="n">
        <v>7000</v>
      </c>
      <c r="I73" s="7" t="n">
        <v>0.3906</v>
      </c>
      <c r="J73" s="5" t="inlineStr">
        <is>
          <t>蝦皮</t>
        </is>
      </c>
      <c r="K73" s="5" t="inlineStr">
        <is>
          <t>王美玲</t>
        </is>
      </c>
      <c r="L7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</cols>
  <sheetData>
    <row r="1" ht="26" customHeight="1">
      <c r="A1" s="3" t="inlineStr">
        <is>
          <t>項目</t>
        </is>
      </c>
      <c r="B1" s="3" t="inlineStr">
        <is>
          <t>數值</t>
        </is>
      </c>
      <c r="C1" s="3" t="inlineStr">
        <is>
          <t>說明</t>
        </is>
      </c>
    </row>
    <row r="2" ht="26" customHeight="1">
      <c r="A2" s="5" t="inlineStr">
        <is>
          <t>本月總營收</t>
        </is>
      </c>
      <c r="B2" s="6">
        <f>SUM(銷售明細!F2:F73)</f>
        <v/>
      </c>
      <c r="C2" s="5" t="inlineStr">
        <is>
          <t>主管第一眼看的總數字</t>
        </is>
      </c>
    </row>
    <row r="3" ht="26" customHeight="1">
      <c r="A3" s="5" t="inlineStr">
        <is>
          <t>本月總銷售數量</t>
        </is>
      </c>
      <c r="B3" s="6">
        <f>SUM(銷售明細!D2:D73)</f>
        <v/>
      </c>
      <c r="C3" s="5" t="inlineStr">
        <is>
          <t>所有商品銷售件數</t>
        </is>
      </c>
    </row>
    <row r="4" ht="26" customHeight="1">
      <c r="A4" s="5" t="inlineStr">
        <is>
          <t>平均毛利率</t>
        </is>
      </c>
      <c r="B4" s="7">
        <f>SUM(銷售明細!H2:H73)/SUM(銷售明細!F2:F73)</f>
        <v/>
      </c>
      <c r="C4" s="5" t="inlineStr">
        <is>
          <t>成本空白列需要人工確認</t>
        </is>
      </c>
    </row>
    <row r="5" ht="26" customHeight="1">
      <c r="A5" s="5" t="inlineStr">
        <is>
          <t>需要注意</t>
        </is>
      </c>
      <c r="B5" s="5" t="inlineStr">
        <is>
          <t>成本空白、毛利率偏低</t>
        </is>
      </c>
      <c r="C5" s="5" t="inlineStr">
        <is>
          <t>請學員要求 Codex 列出異常</t>
        </is>
      </c>
    </row>
    <row r="6" ht="26" customHeight="1">
      <c r="A6" s="5" t="inlineStr">
        <is>
          <t>主管摘要</t>
        </is>
      </c>
      <c r="B6" s="5" t="inlineStr">
        <is>
          <t>請 Codex 產出 5 句白話摘要</t>
        </is>
      </c>
      <c r="C6" s="5" t="inlineStr">
        <is>
          <t>不要只貼整張表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2026-06-04T03:37:31Z</dcterms:created>
  <dcterms:modified xmlns:dcterms="http://purl.org/dc/terms/" xmlns:xsi="http://www.w3.org/2001/XMLSchema-instance" xsi:type="dcterms:W3CDTF">2026-06-04T03:37:31Z</dcterms:modified>
</cp:coreProperties>
</file>